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5-Year 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Use of Fund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32620"/>
      <sz val="18"/>
    </font>
    <font>
      <b val="1"/>
      <color rgb="00B48A45"/>
      <sz val="18"/>
    </font>
  </fonts>
  <fills count="4">
    <fill>
      <patternFill/>
    </fill>
    <fill>
      <patternFill patternType="gray125"/>
    </fill>
    <fill>
      <patternFill patternType="solid">
        <fgColor rgb="00132620"/>
      </patternFill>
    </fill>
    <fill>
      <patternFill patternType="solid">
        <fgColor rgb="00F5F1E8"/>
      </patternFill>
    </fill>
  </fills>
  <borders count="2">
    <border>
      <left/>
      <right/>
      <top/>
      <bottom/>
      <diagonal/>
    </border>
    <border>
      <left style="thin">
        <color rgb="00D8D0C0"/>
      </left>
      <right style="thin">
        <color rgb="00D8D0C0"/>
      </right>
      <top style="thin">
        <color rgb="00D8D0C0"/>
      </top>
      <bottom style="thin">
        <color rgb="00D8D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3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0" fontId="2" fillId="0" borderId="0" pivotButton="0" quotePrefix="0" xfId="0"/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Potential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'Scenarios'!$A$2:$A$4</f>
            </numRef>
          </cat>
          <val>
            <numRef>
              <f>'Scenarios'!$G$2:$G$4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Naira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</cols>
  <sheetData>
    <row r="1">
      <c r="A1" s="1" t="inlineStr">
        <is>
          <t>Assumption</t>
        </is>
      </c>
      <c r="B1" s="2" t="inlineStr">
        <is>
          <t>Value</t>
        </is>
      </c>
      <c r="C1" s="1" t="inlineStr">
        <is>
          <t>Notes</t>
        </is>
      </c>
    </row>
    <row r="2">
      <c r="A2" s="3" t="inlineStr">
        <is>
          <t>Addressable Nigerian lawyer market</t>
        </is>
      </c>
      <c r="B2" s="4" t="n">
        <v>220000</v>
      </c>
      <c r="C2" s="3" t="inlineStr">
        <is>
          <t>Planning midpoint of commonly discussed 200,000 to 250,000 range</t>
        </is>
      </c>
    </row>
    <row r="3">
      <c r="A3" s="3" t="inlineStr">
        <is>
          <t>Yearly premium price</t>
        </is>
      </c>
      <c r="B3" s="4" t="n">
        <v>100000</v>
      </c>
      <c r="C3" s="3" t="inlineStr">
        <is>
          <t>Current LearnedCircle yearly premium price</t>
        </is>
      </c>
    </row>
    <row r="4">
      <c r="A4" s="3" t="inlineStr">
        <is>
          <t>Monthly premium price</t>
        </is>
      </c>
      <c r="B4" s="4" t="n">
        <v>10000</v>
      </c>
      <c r="C4" s="3" t="inlineStr">
        <is>
          <t>Current monthly premium price</t>
        </is>
      </c>
    </row>
    <row r="5">
      <c r="A5" s="3" t="inlineStr">
        <is>
          <t>Job and advert revenue base</t>
        </is>
      </c>
      <c r="B5" s="4" t="n">
        <v>25000000</v>
      </c>
      <c r="C5" s="3" t="inlineStr">
        <is>
          <t>Conservative annual marketplace revenue starting point</t>
        </is>
      </c>
    </row>
    <row r="6">
      <c r="A6" s="3" t="inlineStr">
        <is>
          <t>Annual revenue growth</t>
        </is>
      </c>
      <c r="B6" s="5" t="n">
        <v>0.45</v>
      </c>
      <c r="C6" s="3" t="inlineStr">
        <is>
          <t>Illustrative growth as adoption improves</t>
        </is>
      </c>
    </row>
    <row r="7">
      <c r="A7" s="3" t="inlineStr">
        <is>
          <t>Gross margin</t>
        </is>
      </c>
      <c r="B7" s="5" t="n">
        <v>0.72</v>
      </c>
      <c r="C7" s="3" t="inlineStr">
        <is>
          <t>Digital subscription and marketplace gross margin assumption</t>
        </is>
      </c>
    </row>
    <row r="8">
      <c r="A8" s="3" t="inlineStr">
        <is>
          <t>Marketing as % revenue</t>
        </is>
      </c>
      <c r="B8" s="5" t="n">
        <v>0.28</v>
      </c>
      <c r="C8" s="3" t="inlineStr">
        <is>
          <t>Front-loaded customer acquisition</t>
        </is>
      </c>
    </row>
    <row r="9">
      <c r="A9" s="3" t="inlineStr">
        <is>
          <t>Payroll as % revenue</t>
        </is>
      </c>
      <c r="B9" s="5" t="n">
        <v>0.3</v>
      </c>
      <c r="C9" s="3" t="inlineStr">
        <is>
          <t>Hiring for product, operations, verification and content</t>
        </is>
      </c>
    </row>
    <row r="10">
      <c r="A10" s="3" t="inlineStr">
        <is>
          <t>Admin/technology as % revenue</t>
        </is>
      </c>
      <c r="B10" s="4" t="n">
        <v>0.16</v>
      </c>
      <c r="C10" s="3" t="inlineStr">
        <is>
          <t>Hosting, tools, admin, compliance and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Metric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  <c r="E1" s="6" t="inlineStr">
        <is>
          <t>Year 4</t>
        </is>
      </c>
      <c r="F1" s="6" t="inlineStr">
        <is>
          <t>Year 5</t>
        </is>
      </c>
    </row>
    <row r="2">
      <c r="A2" s="7" t="inlineStr">
        <is>
          <t>Lawyers onboarded</t>
        </is>
      </c>
      <c r="B2" s="7" t="n">
        <v>5000</v>
      </c>
      <c r="C2" s="7" t="n">
        <v>11000</v>
      </c>
      <c r="D2" s="7" t="n">
        <v>22000</v>
      </c>
      <c r="E2" s="7" t="n">
        <v>36000</v>
      </c>
      <c r="F2" s="7" t="n">
        <v>52000</v>
      </c>
    </row>
    <row r="3">
      <c r="A3" s="7" t="inlineStr">
        <is>
          <t>Premium conversion</t>
        </is>
      </c>
      <c r="B3" s="8" t="n">
        <v>0.08</v>
      </c>
      <c r="C3" s="8" t="n">
        <v>0.12</v>
      </c>
      <c r="D3" s="8" t="n">
        <v>0.2</v>
      </c>
      <c r="E3" s="8" t="n">
        <v>0.25</v>
      </c>
      <c r="F3" s="8" t="n">
        <v>0.3</v>
      </c>
    </row>
    <row r="4">
      <c r="A4" s="7" t="inlineStr">
        <is>
          <t>Premium lawyers</t>
        </is>
      </c>
      <c r="B4" s="9">
        <f>B2*B3</f>
        <v/>
      </c>
      <c r="C4" s="9">
        <f>C2*C3</f>
        <v/>
      </c>
      <c r="D4" s="9">
        <f>D2*D3</f>
        <v/>
      </c>
      <c r="E4" s="9">
        <f>E2*E3</f>
        <v/>
      </c>
      <c r="F4" s="9">
        <f>F2*F3</f>
        <v/>
      </c>
    </row>
    <row r="5">
      <c r="A5" s="7" t="inlineStr">
        <is>
          <t>Premium revenue</t>
        </is>
      </c>
      <c r="B5" s="9">
        <f>B4*Inputs!$B$3</f>
        <v/>
      </c>
      <c r="C5" s="9">
        <f>C4*Inputs!$B$3</f>
        <v/>
      </c>
      <c r="D5" s="9">
        <f>D4*Inputs!$B$3</f>
        <v/>
      </c>
      <c r="E5" s="9">
        <f>E4*Inputs!$B$3</f>
        <v/>
      </c>
      <c r="F5" s="9">
        <f>F4*Inputs!$B$3</f>
        <v/>
      </c>
    </row>
    <row r="6">
      <c r="A6" s="7" t="inlineStr">
        <is>
          <t>Jobs and adverts</t>
        </is>
      </c>
      <c r="B6" s="9">
        <f>Inputs!$B$5</f>
        <v/>
      </c>
      <c r="C6" s="9">
        <f>B6*(1+Inputs!$B$6)</f>
        <v/>
      </c>
      <c r="D6" s="9">
        <f>C6*(1+Inputs!$B$6)</f>
        <v/>
      </c>
      <c r="E6" s="9">
        <f>D6*(1+Inputs!$B$6)</f>
        <v/>
      </c>
      <c r="F6" s="9">
        <f>E6*(1+Inputs!$B$6)</f>
        <v/>
      </c>
    </row>
    <row r="7">
      <c r="A7" s="7" t="inlineStr">
        <is>
          <t>Total revenue</t>
        </is>
      </c>
      <c r="B7" s="9">
        <f>B5+B6</f>
        <v/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</row>
    <row r="8">
      <c r="A8" s="7" t="inlineStr">
        <is>
          <t>Gross profit</t>
        </is>
      </c>
      <c r="B8" s="9">
        <f>B7*Inputs!$B$7</f>
        <v/>
      </c>
      <c r="C8" s="9">
        <f>C7*Inputs!$B$7</f>
        <v/>
      </c>
      <c r="D8" s="9">
        <f>D7*Inputs!$B$7</f>
        <v/>
      </c>
      <c r="E8" s="9">
        <f>E7*Inputs!$B$7</f>
        <v/>
      </c>
      <c r="F8" s="9">
        <f>F7*Inputs!$B$7</f>
        <v/>
      </c>
    </row>
    <row r="9">
      <c r="A9" s="7" t="inlineStr">
        <is>
          <t>Marketing</t>
        </is>
      </c>
      <c r="B9" s="9">
        <f>B7*Inputs!$B$8</f>
        <v/>
      </c>
      <c r="C9" s="9">
        <f>C7*Inputs!$B$8</f>
        <v/>
      </c>
      <c r="D9" s="9">
        <f>D7*Inputs!$B$8</f>
        <v/>
      </c>
      <c r="E9" s="9">
        <f>E7*Inputs!$B$8</f>
        <v/>
      </c>
      <c r="F9" s="9">
        <f>F7*Inputs!$B$8</f>
        <v/>
      </c>
    </row>
    <row r="10">
      <c r="A10" s="7" t="inlineStr">
        <is>
          <t>Payroll</t>
        </is>
      </c>
      <c r="B10" s="9">
        <f>B7*Inputs!$B$9</f>
        <v/>
      </c>
      <c r="C10" s="9">
        <f>C7*Inputs!$B$9</f>
        <v/>
      </c>
      <c r="D10" s="9">
        <f>D7*Inputs!$B$9</f>
        <v/>
      </c>
      <c r="E10" s="9">
        <f>E7*Inputs!$B$9</f>
        <v/>
      </c>
      <c r="F10" s="9">
        <f>F7*Inputs!$B$9</f>
        <v/>
      </c>
    </row>
    <row r="11">
      <c r="A11" s="7" t="inlineStr">
        <is>
          <t>Admin and technology</t>
        </is>
      </c>
      <c r="B11" s="9">
        <f>B7*Inputs!$B$10</f>
        <v/>
      </c>
      <c r="C11" s="9">
        <f>C7*Inputs!$B$10</f>
        <v/>
      </c>
      <c r="D11" s="9">
        <f>D7*Inputs!$B$10</f>
        <v/>
      </c>
      <c r="E11" s="9">
        <f>E7*Inputs!$B$10</f>
        <v/>
      </c>
      <c r="F11" s="9">
        <f>F7*Inputs!$B$10</f>
        <v/>
      </c>
    </row>
    <row r="12">
      <c r="A12" s="7" t="inlineStr">
        <is>
          <t>Operating profit</t>
        </is>
      </c>
      <c r="B12" s="9">
        <f>B8-B9-B10-B11</f>
        <v/>
      </c>
      <c r="C12" s="9">
        <f>C8-C9-C10-C11</f>
        <v/>
      </c>
      <c r="D12" s="9">
        <f>D8-D9-D10-D11</f>
        <v/>
      </c>
      <c r="E12" s="9">
        <f>E8-E9-E10-E11</f>
        <v/>
      </c>
      <c r="F12" s="9">
        <f>F8-F9-F10-F11</f>
        <v/>
      </c>
    </row>
    <row r="13">
      <c r="A13" s="7" t="inlineStr">
        <is>
          <t>Closing cash before financing</t>
        </is>
      </c>
      <c r="B13" s="9">
        <f>B12</f>
        <v/>
      </c>
      <c r="C13" s="9">
        <f>B13+C12</f>
        <v/>
      </c>
      <c r="D13" s="9">
        <f>C13+D12</f>
        <v/>
      </c>
      <c r="E13" s="9">
        <f>D13+E12</f>
        <v/>
      </c>
      <c r="F13" s="9">
        <f>E13+F12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6" t="inlineStr">
        <is>
          <t>Scenario</t>
        </is>
      </c>
      <c r="B1" s="6" t="inlineStr">
        <is>
          <t>Lawyers onboarded</t>
        </is>
      </c>
      <c r="C1" s="6" t="inlineStr">
        <is>
          <t>Premium conversion</t>
        </is>
      </c>
      <c r="D1" s="6" t="inlineStr">
        <is>
          <t>Premium lawyers</t>
        </is>
      </c>
      <c r="E1" s="6" t="inlineStr">
        <is>
          <t>Premium ARR</t>
        </is>
      </c>
      <c r="F1" s="6" t="inlineStr">
        <is>
          <t>Jobs + adverts</t>
        </is>
      </c>
      <c r="G1" s="6" t="inlineStr">
        <is>
          <t>Total annual potential</t>
        </is>
      </c>
    </row>
    <row r="2">
      <c r="A2" s="7" t="inlineStr">
        <is>
          <t>Conservative</t>
        </is>
      </c>
      <c r="B2" s="9" t="n">
        <v>11000</v>
      </c>
      <c r="C2" s="8" t="n">
        <v>0.1</v>
      </c>
      <c r="D2" s="9">
        <f>B2*C2</f>
        <v/>
      </c>
      <c r="E2" s="9">
        <f>D2*Inputs!$B$3</f>
        <v/>
      </c>
      <c r="F2" s="9" t="n">
        <v>25000000</v>
      </c>
      <c r="G2" s="9">
        <f>E2+F2</f>
        <v/>
      </c>
    </row>
    <row r="3">
      <c r="A3" s="7" t="inlineStr">
        <is>
          <t>Base case</t>
        </is>
      </c>
      <c r="B3" s="9" t="n">
        <v>22000</v>
      </c>
      <c r="C3" s="8" t="n">
        <v>0.2</v>
      </c>
      <c r="D3" s="9">
        <f>B3*C3</f>
        <v/>
      </c>
      <c r="E3" s="9">
        <f>D3*Inputs!$B$3</f>
        <v/>
      </c>
      <c r="F3" s="9" t="n">
        <v>80000000</v>
      </c>
      <c r="G3" s="9">
        <f>E3+F3</f>
        <v/>
      </c>
    </row>
    <row r="4">
      <c r="A4" s="7" t="inlineStr">
        <is>
          <t>Upside</t>
        </is>
      </c>
      <c r="B4" s="9" t="n">
        <v>44000</v>
      </c>
      <c r="C4" s="8" t="n">
        <v>0.3</v>
      </c>
      <c r="D4" s="9">
        <f>B4*C4</f>
        <v/>
      </c>
      <c r="E4" s="9">
        <f>D4*Inputs!$B$3</f>
        <v/>
      </c>
      <c r="F4" s="9" t="n">
        <v>200000000</v>
      </c>
      <c r="G4" s="9">
        <f>E4+F4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5" max="5"/>
  </cols>
  <sheetData>
    <row r="1">
      <c r="A1" s="6" t="inlineStr">
        <is>
          <t>Use of funds</t>
        </is>
      </c>
      <c r="B1" s="6" t="inlineStr">
        <is>
          <t>N100m round</t>
        </is>
      </c>
      <c r="C1" s="6" t="inlineStr">
        <is>
          <t>N200m round</t>
        </is>
      </c>
      <c r="D1" s="6" t="inlineStr">
        <is>
          <t>N500m round</t>
        </is>
      </c>
      <c r="E1" s="6" t="inlineStr">
        <is>
          <t>Rationale</t>
        </is>
      </c>
    </row>
    <row r="2">
      <c r="A2" s="7" t="inlineStr">
        <is>
          <t>Marketing and lawyer acquisition</t>
        </is>
      </c>
      <c r="B2" s="9">
        <f>100000000*B2</f>
        <v/>
      </c>
      <c r="C2" s="9">
        <f>200000000*C2</f>
        <v/>
      </c>
      <c r="D2" s="9">
        <f>500000000*D2</f>
        <v/>
      </c>
      <c r="E2" s="7" t="inlineStr">
        <is>
          <t>NBA branch visibility, digital campaigns, content and employer partnerships</t>
        </is>
      </c>
    </row>
    <row r="3">
      <c r="A3" s="7" t="inlineStr">
        <is>
          <t>Hiring and operations</t>
        </is>
      </c>
      <c r="B3" s="9">
        <f>100000000*B3</f>
        <v/>
      </c>
      <c r="C3" s="9">
        <f>200000000*C3</f>
        <v/>
      </c>
      <c r="D3" s="9">
        <f>500000000*D3</f>
        <v/>
      </c>
      <c r="E3" s="7" t="inlineStr">
        <is>
          <t>Product, support, verification, content and partnerships</t>
        </is>
      </c>
    </row>
    <row r="4">
      <c r="A4" s="7" t="inlineStr">
        <is>
          <t>Technology and security</t>
        </is>
      </c>
      <c r="B4" s="9">
        <f>100000000*B4</f>
        <v/>
      </c>
      <c r="C4" s="9">
        <f>200000000*C4</f>
        <v/>
      </c>
      <c r="D4" s="9">
        <f>500000000*D4</f>
        <v/>
      </c>
      <c r="E4" s="7" t="inlineStr">
        <is>
          <t>Payments, mobile app, AI assistant, analytics and document workflows</t>
        </is>
      </c>
    </row>
    <row r="5">
      <c r="A5" s="7" t="inlineStr">
        <is>
          <t>Legal, compliance and admin</t>
        </is>
      </c>
      <c r="B5" s="9">
        <f>100000000*B5</f>
        <v/>
      </c>
      <c r="C5" s="9">
        <f>200000000*C5</f>
        <v/>
      </c>
      <c r="D5" s="9">
        <f>500000000*D5</f>
        <v/>
      </c>
      <c r="E5" s="7" t="inlineStr">
        <is>
          <t>Governance, accounting, contracts and policies</t>
        </is>
      </c>
    </row>
    <row r="6">
      <c r="A6" s="7" t="inlineStr">
        <is>
          <t>Reserve</t>
        </is>
      </c>
      <c r="B6" s="9">
        <f>100000000*B6</f>
        <v/>
      </c>
      <c r="C6" s="9">
        <f>200000000*C6</f>
        <v/>
      </c>
      <c r="D6" s="9">
        <f>500000000*D6</f>
        <v/>
      </c>
      <c r="E6" s="7" t="inlineStr">
        <is>
          <t>Working capital and execution buffer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4" max="4"/>
  </cols>
  <sheetData>
    <row r="1">
      <c r="A1" s="10" t="inlineStr">
        <is>
          <t>LearnedCircle Financial Model</t>
        </is>
      </c>
    </row>
    <row r="3">
      <c r="A3" s="11" t="inlineStr">
        <is>
          <t>Investment ladder</t>
        </is>
      </c>
      <c r="B3" s="11" t="n"/>
      <c r="C3" s="11" t="n"/>
      <c r="D3" s="11" t="inlineStr">
        <is>
          <t>Base case annual potential</t>
        </is>
      </c>
    </row>
    <row r="4">
      <c r="A4" s="11" t="inlineStr">
        <is>
          <t>N100m for 12%</t>
        </is>
      </c>
      <c r="B4" s="11" t="n"/>
      <c r="C4" s="11" t="n"/>
      <c r="D4" s="12">
        <f>Scenarios!G3</f>
        <v/>
      </c>
    </row>
    <row r="5">
      <c r="A5" s="11" t="inlineStr">
        <is>
          <t>N200m for 15%</t>
        </is>
      </c>
      <c r="B5" s="11" t="n"/>
      <c r="C5" s="11" t="n"/>
      <c r="D5" s="11" t="n"/>
    </row>
    <row r="6">
      <c r="A6" s="11" t="inlineStr">
        <is>
          <t>N500m for 20%</t>
        </is>
      </c>
      <c r="B6" s="11" t="n"/>
      <c r="C6" s="11" t="n"/>
      <c r="D6" s="1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2026-06-29T15:28:03Z</dcterms:created>
  <dcterms:modified xmlns:dcterms="http://purl.org/dc/terms/" xmlns:xsi="http://www.w3.org/2001/XMLSchema-instance" xsi:type="dcterms:W3CDTF">2026-06-29T15:28:03Z</dcterms:modified>
</cp:coreProperties>
</file>